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f16cf116848a4d8/Bureau/WORK/RECH/ROADEF/"/>
    </mc:Choice>
  </mc:AlternateContent>
  <xr:revisionPtr revIDLastSave="40" documentId="13_ncr:1_{B8889DBB-A43C-1B45-BC84-3EDCA44CBA6E}" xr6:coauthVersionLast="47" xr6:coauthVersionMax="47" xr10:uidLastSave="{B4100240-9263-445B-A7E9-38B4C80F94CA}"/>
  <bookViews>
    <workbookView xWindow="-108" yWindow="-108" windowWidth="23256" windowHeight="12456" xr2:uid="{00000000-000D-0000-FFFF-FFFF00000000}"/>
  </bookViews>
  <sheets>
    <sheet name="sessionsDédiées_new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6" i="2" l="1"/>
  <c r="E58" i="2"/>
  <c r="F58" i="2"/>
  <c r="G58" i="2"/>
  <c r="H58" i="2"/>
  <c r="I58" i="2"/>
  <c r="J58" i="2"/>
  <c r="K58" i="2"/>
  <c r="E59" i="2"/>
  <c r="F59" i="2"/>
  <c r="G59" i="2"/>
  <c r="H59" i="2"/>
  <c r="I59" i="2"/>
  <c r="J59" i="2"/>
  <c r="K59" i="2"/>
  <c r="E60" i="2"/>
  <c r="F60" i="2"/>
  <c r="G60" i="2"/>
  <c r="H60" i="2"/>
  <c r="I60" i="2"/>
  <c r="J60" i="2"/>
  <c r="K60" i="2"/>
  <c r="E61" i="2"/>
  <c r="F61" i="2"/>
  <c r="G61" i="2"/>
  <c r="H61" i="2"/>
  <c r="I61" i="2"/>
  <c r="J61" i="2"/>
  <c r="K61" i="2"/>
  <c r="E62" i="2"/>
  <c r="F62" i="2"/>
  <c r="G62" i="2"/>
  <c r="H62" i="2"/>
  <c r="I62" i="2"/>
  <c r="J62" i="2"/>
  <c r="K62" i="2"/>
  <c r="E63" i="2"/>
  <c r="F63" i="2"/>
  <c r="G63" i="2"/>
  <c r="H63" i="2"/>
  <c r="I63" i="2"/>
  <c r="J63" i="2"/>
  <c r="K63" i="2"/>
  <c r="E64" i="2"/>
  <c r="F64" i="2"/>
  <c r="G64" i="2"/>
  <c r="H64" i="2"/>
  <c r="I64" i="2"/>
  <c r="J64" i="2"/>
  <c r="K64" i="2"/>
  <c r="E65" i="2"/>
  <c r="F65" i="2"/>
  <c r="G65" i="2"/>
  <c r="H65" i="2"/>
  <c r="I65" i="2"/>
  <c r="J65" i="2"/>
  <c r="K65" i="2"/>
  <c r="E66" i="2"/>
  <c r="F66" i="2"/>
  <c r="G66" i="2"/>
  <c r="H66" i="2"/>
  <c r="I66" i="2"/>
  <c r="J66" i="2"/>
  <c r="K66" i="2"/>
  <c r="E67" i="2"/>
  <c r="F67" i="2"/>
  <c r="G67" i="2"/>
  <c r="H67" i="2"/>
  <c r="I67" i="2"/>
  <c r="J67" i="2"/>
  <c r="K67" i="2"/>
  <c r="E68" i="2"/>
  <c r="F68" i="2"/>
  <c r="G68" i="2"/>
  <c r="H68" i="2"/>
  <c r="I68" i="2"/>
  <c r="J68" i="2"/>
  <c r="K68" i="2"/>
  <c r="E69" i="2"/>
  <c r="F69" i="2"/>
  <c r="G69" i="2"/>
  <c r="H69" i="2"/>
  <c r="I69" i="2"/>
  <c r="J69" i="2"/>
  <c r="K69" i="2"/>
  <c r="E70" i="2"/>
  <c r="F70" i="2"/>
  <c r="G70" i="2"/>
  <c r="H70" i="2"/>
  <c r="I70" i="2"/>
  <c r="J70" i="2"/>
  <c r="K70" i="2"/>
  <c r="E71" i="2"/>
  <c r="F71" i="2"/>
  <c r="G71" i="2"/>
  <c r="H71" i="2"/>
  <c r="I71" i="2"/>
  <c r="J71" i="2"/>
  <c r="K71" i="2"/>
  <c r="E72" i="2"/>
  <c r="F72" i="2"/>
  <c r="G72" i="2"/>
  <c r="H72" i="2"/>
  <c r="I72" i="2"/>
  <c r="J72" i="2"/>
  <c r="K72" i="2"/>
  <c r="E73" i="2"/>
  <c r="F73" i="2"/>
  <c r="G73" i="2"/>
  <c r="H73" i="2"/>
  <c r="I73" i="2"/>
  <c r="J73" i="2"/>
  <c r="K73" i="2"/>
  <c r="E74" i="2"/>
  <c r="F74" i="2"/>
  <c r="G74" i="2"/>
  <c r="H74" i="2"/>
  <c r="I74" i="2"/>
  <c r="J74" i="2"/>
  <c r="K74" i="2"/>
  <c r="E75" i="2"/>
  <c r="F75" i="2"/>
  <c r="G75" i="2"/>
  <c r="H75" i="2"/>
  <c r="I75" i="2"/>
  <c r="J75" i="2"/>
  <c r="K75" i="2"/>
  <c r="E76" i="2"/>
  <c r="F76" i="2"/>
  <c r="G76" i="2"/>
  <c r="H76" i="2"/>
  <c r="J76" i="2"/>
  <c r="K76" i="2"/>
  <c r="F57" i="2"/>
  <c r="G57" i="2"/>
  <c r="H57" i="2"/>
  <c r="I57" i="2"/>
  <c r="J57" i="2"/>
  <c r="K57" i="2"/>
  <c r="C62" i="2"/>
  <c r="C60" i="2"/>
  <c r="C58" i="2"/>
  <c r="E57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K3" i="2"/>
  <c r="J3" i="2"/>
  <c r="I3" i="2"/>
  <c r="H3" i="2"/>
  <c r="G3" i="2"/>
  <c r="F3" i="2"/>
  <c r="E3" i="2"/>
  <c r="L57" i="2" l="1"/>
</calcChain>
</file>

<file path=xl/sharedStrings.xml><?xml version="1.0" encoding="utf-8"?>
<sst xmlns="http://schemas.openxmlformats.org/spreadsheetml/2006/main" count="89" uniqueCount="89">
  <si>
    <t>fr</t>
  </si>
  <si>
    <t>CASID</t>
  </si>
  <si>
    <t>Sessions Parall√®les</t>
  </si>
  <si>
    <t>Theorie Algorithmique de la D√©cision et des Jeux (GT TADJ)</t>
  </si>
  <si>
    <t>Donn√©es, Apprentissage Automatique et Optimisation (Action transverse DAAO)</t>
  </si>
  <si>
    <t>Prix du Meilleur Article √âtudiant</t>
  </si>
  <si>
    <t>Prix du Master</t>
  </si>
  <si>
    <t>Approches exactes bas√©es sur l'apprentissage pour l'optimisation des syst√®mes logistiques</t>
  </si>
  <si>
    <t>M√©thodes avanc√©es et applications pour les probl√®mes de Cutting and Packing</t>
  </si>
  <si>
    <t>Int√©gration des m√©thodes d'apprentissage dans les m√©taheuristiques</t>
  </si>
  <si>
    <t>RO et √©thique (GT ROET)</t>
  </si>
  <si>
    <t>Optimisation bi-niveaux et applications</t>
  </si>
  <si>
    <t>D√©cision et Optimisation Robuste (Action transverse DOR)</t>
  </si>
  <si>
    <t>Avanc√©es r√©centes √† base de m√©taheuristiques (GT META)</t>
  </si>
  <si>
    <t>M√©thodes approch√©es pour les tourn√©es de v√©hicules (GT META &amp; GT2L)</t>
  </si>
  <si>
    <t>Partitionnement des Graphes (GT OR)</t>
  </si>
  <si>
    <t>Complexit√©, Approximation et Graphes (Axe CAGDO)</t>
  </si>
  <si>
    <t>Optimisation des op√©rations dans les entrep√¥ts logistiques (GT2L)</t>
  </si>
  <si>
    <t>Probl√®mes de transport avec stock (GT2L &amp; GT P2LS)</t>
  </si>
  <si>
    <t>Logistique durable (GT2L &amp; GT ROES)</t>
  </si>
  <si>
    <t>Applications des m√©taheuristiques pour l‚Äôoptimisation des syst√®mes industriels (GT META)</t>
  </si>
  <si>
    <t>D√©veloppement d'algorithmes quantiques pour l'optimisation (GT ROQ)</t>
  </si>
  <si>
    <t>Application d'algorithmes quantiques pour l'optimisation (GT ROQ)</t>
  </si>
  <si>
    <t>Optimisation multiobjectif (GT ATOM)</t>
  </si>
  <si>
    <t>Transport Ferroviaire</t>
  </si>
  <si>
    <t>M√©thodes de r√©solution hybrides √† base de m√©taheuristiques et de programmation par contraintes (GT ROCT &amp; GT META)</t>
  </si>
  <si>
    <t>M√©thodes de R√©solution pour les Probl√®mes de Transport et de Tourn√©es de V√©hicules (GT2L)</t>
  </si>
  <si>
    <t>M√©thodes exactes pour les probl√®mes d'ordonnancement (GT GOTHA)</t>
  </si>
  <si>
    <t>Heuristiques et algorithmes d'approximation pour les probl√®mes d'ordonnancement (GT GOTHA)</t>
  </si>
  <si>
    <t>Nouveaux mod√®les/tendances en mati√®re d'ordonnancement (GT GOTHA)</t>
  </si>
  <si>
    <t xml:space="preserve">Programmation Math√©matique Non Lin√©aire (axe OM GDR RO) </t>
  </si>
  <si>
    <t>Approches poly√©drales, formulations √©tendues et d√©composition en programmation enti√®re (GT POC)</t>
  </si>
  <si>
    <t>M√©thodes quantiques pour l‚Äôoptimisation combinatoire (GT ROQ)</t>
  </si>
  <si>
    <t>Sur les meilleures pratiques de programmation et leur lien avec la th√©orie</t>
  </si>
  <si>
    <t>Optimisation dans les r√©seaux t√©l√©coms (GT OR)</t>
  </si>
  <si>
    <t>mod√©lisation  de la configuration des r√©seaux de services de transport intermodal et durabilit√©</t>
  </si>
  <si>
    <t>Tourn√©es de livraison/VRP avec int√©gration de l'IoT et IA</t>
  </si>
  <si>
    <t>Ordonnancement et durabilit√© (GT ORIGIN)</t>
  </si>
  <si>
    <t>Planification et Ordonnancement: approches int√©gr√©es dans le contexte de la transition num√©rique (GT ORIGIN &amp; GT P2LS)</t>
  </si>
  <si>
    <t>Planification de la Production et Lot-Sizing (GT P2LS)</t>
  </si>
  <si>
    <t>Optimisation dans les r√©seaux √©nerg√©tiques intelligents (GT OR)</t>
  </si>
  <si>
    <t>Programmation stochastique (GT COSMOS &amp; action transverse DOR)</t>
  </si>
  <si>
    <t>Ing√©nierie Syst√®me, Optimisation Multidisciplinaire (MDO) et Syst√®mes de Syst√®mes</t>
  </si>
  <si>
    <t>Planification de la production et des approvisionnements sous incertitude</t>
  </si>
  <si>
    <t>Micro-r√©seaux industriels</t>
  </si>
  <si>
    <t>Optimisation √©nerg√©tique, consommation et alimentation des infrastructures num√©riques (GT SCALE)</t>
  </si>
  <si>
    <t>(Hyper)graphes et applications (Axe CAGDO)</t>
  </si>
  <si>
    <t>Prise en compte de contraintes environnementales dans l'industrie (GT ROES)</t>
  </si>
  <si>
    <t>NB papiers</t>
  </si>
  <si>
    <t>TOTAL</t>
  </si>
  <si>
    <t>jeudi</t>
  </si>
  <si>
    <t>2(6)</t>
  </si>
  <si>
    <t>1 (4)</t>
  </si>
  <si>
    <t>3 (3-6)</t>
  </si>
  <si>
    <t>5 (4)</t>
  </si>
  <si>
    <t>6(4)</t>
  </si>
  <si>
    <t>7(5)</t>
  </si>
  <si>
    <t>8(4)</t>
  </si>
  <si>
    <t>Mardi</t>
  </si>
  <si>
    <t>Mercredi</t>
  </si>
  <si>
    <t>Jeudi</t>
  </si>
  <si>
    <t>NB Sessions //</t>
  </si>
  <si>
    <t>TADJ</t>
  </si>
  <si>
    <t>DAAO</t>
  </si>
  <si>
    <t>ROSA</t>
  </si>
  <si>
    <t>ROES</t>
  </si>
  <si>
    <t>ROET</t>
  </si>
  <si>
    <t>DOR</t>
  </si>
  <si>
    <t>GT2L</t>
  </si>
  <si>
    <t>CAGDO</t>
  </si>
  <si>
    <t>P2LS</t>
  </si>
  <si>
    <t>ROQ</t>
  </si>
  <si>
    <t>ATOM</t>
  </si>
  <si>
    <t>ROCT</t>
  </si>
  <si>
    <t>GOTHA</t>
  </si>
  <si>
    <t>POC</t>
  </si>
  <si>
    <t>ORIGIN</t>
  </si>
  <si>
    <t>SCALE</t>
  </si>
  <si>
    <t>Probl√®me de gestion de ressource dans la chaine logistique (GT2L &amp; GT ORIGIN)</t>
  </si>
  <si>
    <t>Recherche Op√©rationnelle et Sant√© (GT ROSA)</t>
  </si>
  <si>
    <t>COSMOS</t>
  </si>
  <si>
    <t>Probl√®me de logistique en sant√© (GT2L &amp; GT ROSA)</t>
  </si>
  <si>
    <t>GT META</t>
  </si>
  <si>
    <r>
      <t xml:space="preserve">Programmation par contraintes et intelligence artificielle (GT ROCT) </t>
    </r>
    <r>
      <rPr>
        <sz val="12"/>
        <color theme="9" tint="-0.499984740745262"/>
        <rFont val="Calibri"/>
        <family val="2"/>
        <scheme val="minor"/>
      </rPr>
      <t>+ GT META</t>
    </r>
  </si>
  <si>
    <r>
      <t xml:space="preserve">RO Environnement &amp; Soci√©t√© (GT ROES) + </t>
    </r>
    <r>
      <rPr>
        <sz val="12"/>
        <color theme="5" tint="-0.499984740745262"/>
        <rFont val="Calibri"/>
        <family val="2"/>
        <scheme val="minor"/>
      </rPr>
      <t>GT ROET</t>
    </r>
  </si>
  <si>
    <t>GT OR)</t>
  </si>
  <si>
    <r>
      <t xml:space="preserve">Probl√®me de logistique en milieu urbain (GT2L) + </t>
    </r>
    <r>
      <rPr>
        <sz val="12"/>
        <color theme="5" tint="-0.499984740745262"/>
        <rFont val="Calibri"/>
        <family val="2"/>
        <scheme val="minor"/>
      </rPr>
      <t>P2LS</t>
    </r>
  </si>
  <si>
    <t>Algorithmes hybrides classiques-quantiques GT ROQ</t>
  </si>
  <si>
    <t>axe 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</si>
</sst>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2"/>
      <color theme="5" tint="-0.499984740745262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ADE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center"/>
    </xf>
    <xf numFmtId="0" fontId="0" fillId="34" borderId="0" xfId="0" applyFill="1"/>
    <xf numFmtId="0" fontId="0" fillId="34" borderId="10" xfId="0" applyFill="1" applyBorder="1" applyAlignment="1">
      <alignment horizontal="center"/>
    </xf>
    <xf numFmtId="0" fontId="0" fillId="33" borderId="0" xfId="0" applyFill="1"/>
    <xf numFmtId="0" fontId="0" fillId="35" borderId="0" xfId="0" applyFill="1"/>
    <xf numFmtId="0" fontId="0" fillId="35" borderId="10" xfId="0" applyFill="1" applyBorder="1" applyAlignment="1">
      <alignment horizontal="center"/>
    </xf>
    <xf numFmtId="0" fontId="0" fillId="36" borderId="0" xfId="0" applyFill="1"/>
    <xf numFmtId="0" fontId="0" fillId="36" borderId="10" xfId="0" applyFill="1" applyBorder="1" applyAlignment="1">
      <alignment horizontal="center"/>
    </xf>
    <xf numFmtId="0" fontId="0" fillId="37" borderId="0" xfId="0" applyFill="1"/>
    <xf numFmtId="0" fontId="0" fillId="37" borderId="10" xfId="0" applyFill="1" applyBorder="1" applyAlignment="1">
      <alignment horizontal="center"/>
    </xf>
    <xf numFmtId="0" fontId="17" fillId="39" borderId="0" xfId="0" applyFont="1" applyFill="1" applyAlignment="1">
      <alignment horizontal="center"/>
    </xf>
    <xf numFmtId="0" fontId="13" fillId="41" borderId="10" xfId="0" applyFont="1" applyFill="1" applyBorder="1"/>
    <xf numFmtId="0" fontId="0" fillId="35" borderId="10" xfId="0" applyFill="1" applyBorder="1"/>
    <xf numFmtId="0" fontId="0" fillId="42" borderId="10" xfId="0" applyFill="1" applyBorder="1"/>
    <xf numFmtId="0" fontId="18" fillId="42" borderId="10" xfId="0" applyFont="1" applyFill="1" applyBorder="1"/>
    <xf numFmtId="0" fontId="17" fillId="38" borderId="0" xfId="0" applyFont="1" applyFill="1" applyAlignment="1">
      <alignment horizontal="center"/>
    </xf>
    <xf numFmtId="0" fontId="17" fillId="40" borderId="0" xfId="0" applyFont="1" applyFill="1" applyAlignment="1">
      <alignment horizontal="center"/>
    </xf>
    <xf numFmtId="0" fontId="13" fillId="41" borderId="11" xfId="0" applyFont="1" applyFill="1" applyBorder="1" applyAlignment="1">
      <alignment horizontal="center"/>
    </xf>
    <xf numFmtId="0" fontId="13" fillId="41" borderId="12" xfId="0" applyFont="1" applyFill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AD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0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B97AE-F003-4729-B1BC-B8396569538F}">
  <dimension ref="A1:L76"/>
  <sheetViews>
    <sheetView tabSelected="1" zoomScale="70" zoomScaleNormal="70" workbookViewId="0">
      <pane ySplit="1" topLeftCell="A26" activePane="bottomLeft" state="frozen"/>
      <selection pane="bottomLeft" activeCell="A40" sqref="A40"/>
    </sheetView>
  </sheetViews>
  <sheetFormatPr baseColWidth="10" defaultRowHeight="15.6" x14ac:dyDescent="0.3"/>
  <cols>
    <col min="1" max="1" width="112.796875" customWidth="1"/>
    <col min="4" max="4" width="9.8984375" customWidth="1"/>
  </cols>
  <sheetData>
    <row r="1" spans="1:12" x14ac:dyDescent="0.3">
      <c r="E1" s="18" t="s">
        <v>58</v>
      </c>
      <c r="F1" s="18"/>
      <c r="G1" s="18"/>
      <c r="H1" s="13" t="s">
        <v>59</v>
      </c>
      <c r="I1" s="19" t="s">
        <v>60</v>
      </c>
      <c r="J1" s="19"/>
      <c r="K1" s="19"/>
    </row>
    <row r="2" spans="1:12" x14ac:dyDescent="0.3">
      <c r="A2" t="s">
        <v>0</v>
      </c>
      <c r="B2" s="3" t="s">
        <v>1</v>
      </c>
      <c r="C2" s="3" t="s">
        <v>48</v>
      </c>
      <c r="D2" s="2"/>
      <c r="E2" s="2" t="s">
        <v>52</v>
      </c>
      <c r="F2" s="2" t="s">
        <v>51</v>
      </c>
      <c r="G2" s="2" t="s">
        <v>53</v>
      </c>
      <c r="H2" s="2" t="s">
        <v>54</v>
      </c>
      <c r="I2" s="2" t="s">
        <v>55</v>
      </c>
      <c r="J2" s="2" t="s">
        <v>56</v>
      </c>
      <c r="K2" s="2" t="s">
        <v>57</v>
      </c>
      <c r="L2" s="2"/>
    </row>
    <row r="3" spans="1:12" x14ac:dyDescent="0.3">
      <c r="A3" t="s">
        <v>2</v>
      </c>
      <c r="B3" s="20" t="s">
        <v>61</v>
      </c>
      <c r="C3" s="21"/>
      <c r="D3" s="14"/>
      <c r="E3" s="14">
        <f t="shared" ref="E3:F3" si="0">COUNTIF(E4:E55,"&gt;0")</f>
        <v>11</v>
      </c>
      <c r="F3" s="14">
        <f t="shared" si="0"/>
        <v>11</v>
      </c>
      <c r="G3" s="14">
        <f>COUNTIF(G4:G55,"&gt;0")</f>
        <v>11</v>
      </c>
      <c r="H3" s="14">
        <f t="shared" ref="H3:K3" si="1">COUNTIF(H4:H55,"&gt;0")</f>
        <v>11</v>
      </c>
      <c r="I3" s="14">
        <f t="shared" si="1"/>
        <v>11</v>
      </c>
      <c r="J3" s="14">
        <f t="shared" si="1"/>
        <v>11</v>
      </c>
      <c r="K3" s="14">
        <f t="shared" si="1"/>
        <v>11</v>
      </c>
      <c r="L3" s="2"/>
    </row>
    <row r="4" spans="1:12" x14ac:dyDescent="0.3">
      <c r="A4" t="s">
        <v>3</v>
      </c>
      <c r="B4" s="3">
        <v>1453676</v>
      </c>
      <c r="C4" s="3">
        <v>14</v>
      </c>
      <c r="D4" s="2"/>
      <c r="E4" s="2">
        <v>4</v>
      </c>
      <c r="F4" s="2"/>
      <c r="G4" s="2">
        <v>3</v>
      </c>
      <c r="H4" s="2"/>
      <c r="I4" s="2">
        <v>4</v>
      </c>
      <c r="J4" s="2"/>
      <c r="K4" s="2">
        <v>3</v>
      </c>
      <c r="L4" s="15">
        <f>SUM(E4:K4)</f>
        <v>14</v>
      </c>
    </row>
    <row r="5" spans="1:12" x14ac:dyDescent="0.3">
      <c r="A5" t="s">
        <v>4</v>
      </c>
      <c r="B5" s="3">
        <v>1453676</v>
      </c>
      <c r="C5" s="3">
        <v>23</v>
      </c>
      <c r="D5" s="2"/>
      <c r="E5" s="2"/>
      <c r="F5" s="2">
        <v>6</v>
      </c>
      <c r="G5" s="2">
        <v>4</v>
      </c>
      <c r="H5" s="2">
        <v>4</v>
      </c>
      <c r="I5" s="2">
        <v>4</v>
      </c>
      <c r="J5" s="2">
        <v>5</v>
      </c>
      <c r="K5" s="2"/>
      <c r="L5" s="15">
        <f t="shared" ref="L5:L55" si="2">SUM(E5:K5)</f>
        <v>23</v>
      </c>
    </row>
    <row r="6" spans="1:12" x14ac:dyDescent="0.3">
      <c r="A6" s="4" t="s">
        <v>5</v>
      </c>
      <c r="B6" s="5">
        <v>1453676</v>
      </c>
      <c r="C6" s="5"/>
      <c r="D6" s="16"/>
      <c r="E6" s="16"/>
      <c r="F6" s="16"/>
      <c r="G6" s="16"/>
      <c r="H6" s="16"/>
      <c r="I6" s="16"/>
      <c r="J6" s="16"/>
      <c r="K6" s="16"/>
      <c r="L6" s="16">
        <f t="shared" si="2"/>
        <v>0</v>
      </c>
    </row>
    <row r="7" spans="1:12" x14ac:dyDescent="0.3">
      <c r="A7" s="4" t="s">
        <v>6</v>
      </c>
      <c r="B7" s="5">
        <v>1453676</v>
      </c>
      <c r="C7" s="5"/>
      <c r="D7" s="16"/>
      <c r="E7" s="16"/>
      <c r="F7" s="16"/>
      <c r="G7" s="16"/>
      <c r="H7" s="16"/>
      <c r="I7" s="16"/>
      <c r="J7" s="16"/>
      <c r="K7" s="16"/>
      <c r="L7" s="16">
        <f t="shared" si="2"/>
        <v>0</v>
      </c>
    </row>
    <row r="8" spans="1:12" x14ac:dyDescent="0.3">
      <c r="A8" s="9" t="s">
        <v>7</v>
      </c>
      <c r="B8" s="10">
        <v>1453676</v>
      </c>
      <c r="C8" s="10">
        <v>2</v>
      </c>
      <c r="D8" s="2"/>
      <c r="E8" s="2"/>
      <c r="F8" s="2"/>
      <c r="G8" s="2"/>
      <c r="H8" s="2"/>
      <c r="I8" s="2"/>
      <c r="J8" s="2"/>
      <c r="K8" s="2"/>
      <c r="L8" s="15">
        <f t="shared" si="2"/>
        <v>0</v>
      </c>
    </row>
    <row r="9" spans="1:12" x14ac:dyDescent="0.3">
      <c r="A9" t="s">
        <v>79</v>
      </c>
      <c r="B9" s="3">
        <v>201292</v>
      </c>
      <c r="C9" s="3">
        <v>12</v>
      </c>
      <c r="D9" s="2"/>
      <c r="E9" s="2">
        <v>3</v>
      </c>
      <c r="F9" s="2"/>
      <c r="G9" s="2">
        <v>3</v>
      </c>
      <c r="H9" s="2"/>
      <c r="I9" s="2">
        <v>3</v>
      </c>
      <c r="J9" s="2"/>
      <c r="K9" s="2">
        <v>3</v>
      </c>
      <c r="L9" s="15">
        <f t="shared" si="2"/>
        <v>12</v>
      </c>
    </row>
    <row r="10" spans="1:12" x14ac:dyDescent="0.3">
      <c r="A10" t="s">
        <v>8</v>
      </c>
      <c r="B10" s="3">
        <v>148991</v>
      </c>
      <c r="C10" s="3">
        <v>9</v>
      </c>
      <c r="D10" s="2"/>
      <c r="E10" s="2"/>
      <c r="F10" s="2"/>
      <c r="G10" s="2"/>
      <c r="H10" s="2">
        <v>4</v>
      </c>
      <c r="I10" s="2"/>
      <c r="J10" s="2">
        <v>5</v>
      </c>
      <c r="K10" s="2"/>
      <c r="L10" s="15">
        <f t="shared" si="2"/>
        <v>9</v>
      </c>
    </row>
    <row r="11" spans="1:12" x14ac:dyDescent="0.3">
      <c r="A11" t="s">
        <v>9</v>
      </c>
      <c r="B11" s="3">
        <v>190261</v>
      </c>
      <c r="C11" s="3">
        <v>9</v>
      </c>
      <c r="D11" s="2"/>
      <c r="E11" s="2"/>
      <c r="F11" s="2">
        <v>6</v>
      </c>
      <c r="G11" s="2"/>
      <c r="H11" s="2"/>
      <c r="I11" s="2"/>
      <c r="J11" s="2">
        <v>3</v>
      </c>
      <c r="K11" s="2"/>
      <c r="L11" s="15">
        <f t="shared" si="2"/>
        <v>9</v>
      </c>
    </row>
    <row r="12" spans="1:12" x14ac:dyDescent="0.3">
      <c r="A12" s="11" t="s">
        <v>10</v>
      </c>
      <c r="B12" s="12">
        <v>120058</v>
      </c>
      <c r="C12" s="12">
        <v>2</v>
      </c>
      <c r="D12" s="2"/>
      <c r="E12" s="2"/>
      <c r="F12" s="2"/>
      <c r="G12" s="2"/>
      <c r="H12" s="2"/>
      <c r="I12" s="2"/>
      <c r="J12" s="2"/>
      <c r="K12" s="2"/>
      <c r="L12" s="15">
        <f t="shared" si="2"/>
        <v>0</v>
      </c>
    </row>
    <row r="13" spans="1:12" x14ac:dyDescent="0.3">
      <c r="A13" s="11" t="s">
        <v>84</v>
      </c>
      <c r="B13" s="12">
        <v>50035</v>
      </c>
      <c r="C13" s="12">
        <v>4</v>
      </c>
      <c r="D13" s="2">
        <v>6</v>
      </c>
      <c r="E13" s="2"/>
      <c r="F13" s="2"/>
      <c r="G13" s="2">
        <v>3</v>
      </c>
      <c r="H13" s="2"/>
      <c r="I13" s="2"/>
      <c r="J13" s="2"/>
      <c r="K13" s="2">
        <v>3</v>
      </c>
      <c r="L13" s="15">
        <f t="shared" si="2"/>
        <v>6</v>
      </c>
    </row>
    <row r="14" spans="1:12" x14ac:dyDescent="0.3">
      <c r="A14" t="s">
        <v>11</v>
      </c>
      <c r="B14" s="3">
        <v>1453676</v>
      </c>
      <c r="C14" s="3">
        <v>6</v>
      </c>
      <c r="D14" s="2"/>
      <c r="E14" s="2"/>
      <c r="F14" s="2">
        <v>6</v>
      </c>
      <c r="G14" s="2"/>
      <c r="H14" s="2"/>
      <c r="I14" s="2"/>
      <c r="J14" s="2"/>
      <c r="K14" s="2"/>
      <c r="L14" s="15">
        <f t="shared" si="2"/>
        <v>6</v>
      </c>
    </row>
    <row r="15" spans="1:12" x14ac:dyDescent="0.3">
      <c r="A15" t="s">
        <v>12</v>
      </c>
      <c r="B15" s="3">
        <v>179383</v>
      </c>
      <c r="C15" s="3">
        <v>10</v>
      </c>
      <c r="D15" s="2"/>
      <c r="E15" s="2"/>
      <c r="F15" s="2">
        <v>6</v>
      </c>
      <c r="G15" s="2"/>
      <c r="H15" s="2">
        <v>4</v>
      </c>
      <c r="I15" s="2"/>
      <c r="J15" s="2"/>
      <c r="K15" s="2"/>
      <c r="L15" s="15">
        <f t="shared" si="2"/>
        <v>10</v>
      </c>
    </row>
    <row r="16" spans="1:12" x14ac:dyDescent="0.3">
      <c r="A16" t="s">
        <v>13</v>
      </c>
      <c r="B16" s="3">
        <v>656802</v>
      </c>
      <c r="C16" s="3">
        <v>4</v>
      </c>
      <c r="D16" s="2"/>
      <c r="E16" s="2"/>
      <c r="F16" s="2"/>
      <c r="G16" s="2"/>
      <c r="H16" s="2"/>
      <c r="I16" s="2"/>
      <c r="J16" s="2">
        <v>4</v>
      </c>
      <c r="K16" s="2"/>
      <c r="L16" s="15">
        <f t="shared" si="2"/>
        <v>4</v>
      </c>
    </row>
    <row r="17" spans="1:12" x14ac:dyDescent="0.3">
      <c r="A17" t="s">
        <v>14</v>
      </c>
      <c r="B17" s="3">
        <v>656802</v>
      </c>
      <c r="C17" s="3">
        <v>10</v>
      </c>
      <c r="D17" s="2"/>
      <c r="E17" s="2"/>
      <c r="F17" s="2">
        <v>6</v>
      </c>
      <c r="G17" s="2"/>
      <c r="H17" s="2">
        <v>4</v>
      </c>
      <c r="I17" s="2"/>
      <c r="J17" s="2"/>
      <c r="K17" s="2"/>
      <c r="L17" s="15">
        <f t="shared" si="2"/>
        <v>10</v>
      </c>
    </row>
    <row r="18" spans="1:12" x14ac:dyDescent="0.3">
      <c r="A18" s="4" t="s">
        <v>15</v>
      </c>
      <c r="B18" s="5">
        <v>430623</v>
      </c>
      <c r="C18" s="5">
        <v>0</v>
      </c>
      <c r="D18" s="16"/>
      <c r="E18" s="16"/>
      <c r="F18" s="16"/>
      <c r="G18" s="16"/>
      <c r="H18" s="16"/>
      <c r="I18" s="16"/>
      <c r="J18" s="16"/>
      <c r="K18" s="16"/>
      <c r="L18" s="16">
        <f t="shared" si="2"/>
        <v>0</v>
      </c>
    </row>
    <row r="19" spans="1:12" x14ac:dyDescent="0.3">
      <c r="A19" t="s">
        <v>16</v>
      </c>
      <c r="B19" s="3">
        <v>22940</v>
      </c>
      <c r="C19" s="3">
        <v>7</v>
      </c>
      <c r="D19" s="2"/>
      <c r="E19" s="2"/>
      <c r="F19" s="2"/>
      <c r="G19" s="2"/>
      <c r="H19" s="2"/>
      <c r="I19" s="2">
        <v>4</v>
      </c>
      <c r="J19" s="2"/>
      <c r="K19" s="2">
        <v>3</v>
      </c>
      <c r="L19" s="15">
        <f t="shared" si="2"/>
        <v>7</v>
      </c>
    </row>
    <row r="20" spans="1:12" x14ac:dyDescent="0.3">
      <c r="A20" t="s">
        <v>17</v>
      </c>
      <c r="B20" s="3">
        <v>943948</v>
      </c>
      <c r="C20" s="3">
        <v>6</v>
      </c>
      <c r="D20" s="2"/>
      <c r="E20" s="2">
        <v>3</v>
      </c>
      <c r="F20" s="2"/>
      <c r="G20" s="2">
        <v>3</v>
      </c>
      <c r="H20" s="2"/>
      <c r="I20" s="2"/>
      <c r="J20" s="2"/>
      <c r="K20" s="2"/>
      <c r="L20" s="15">
        <f t="shared" si="2"/>
        <v>6</v>
      </c>
    </row>
    <row r="21" spans="1:12" x14ac:dyDescent="0.3">
      <c r="A21" s="6" t="s">
        <v>86</v>
      </c>
      <c r="B21" s="1">
        <v>1453676</v>
      </c>
      <c r="C21" s="1">
        <v>5</v>
      </c>
      <c r="D21" s="2">
        <v>6</v>
      </c>
      <c r="E21" s="2"/>
      <c r="F21" s="2"/>
      <c r="G21" s="2"/>
      <c r="H21" s="2"/>
      <c r="I21" s="2">
        <v>3</v>
      </c>
      <c r="J21" s="2"/>
      <c r="K21" s="2">
        <v>3</v>
      </c>
      <c r="L21" s="15">
        <f t="shared" si="2"/>
        <v>6</v>
      </c>
    </row>
    <row r="22" spans="1:12" x14ac:dyDescent="0.3">
      <c r="A22" t="s">
        <v>78</v>
      </c>
      <c r="B22" s="3">
        <v>173504</v>
      </c>
      <c r="C22" s="3">
        <v>5</v>
      </c>
      <c r="D22" s="2"/>
      <c r="E22" s="2"/>
      <c r="F22" s="2"/>
      <c r="G22" s="2"/>
      <c r="H22" s="2"/>
      <c r="I22" s="2"/>
      <c r="J22" s="2">
        <v>5</v>
      </c>
      <c r="K22" s="2"/>
      <c r="L22" s="15">
        <f t="shared" si="2"/>
        <v>5</v>
      </c>
    </row>
    <row r="23" spans="1:12" x14ac:dyDescent="0.3">
      <c r="A23" s="6" t="s">
        <v>18</v>
      </c>
      <c r="B23" s="1">
        <v>147874</v>
      </c>
      <c r="C23" s="1">
        <v>1</v>
      </c>
      <c r="D23" s="2"/>
      <c r="E23" s="2"/>
      <c r="F23" s="2"/>
      <c r="G23" s="2"/>
      <c r="H23" s="2"/>
      <c r="I23" s="2"/>
      <c r="J23" s="2"/>
      <c r="K23" s="2"/>
      <c r="L23" s="15">
        <f t="shared" si="2"/>
        <v>0</v>
      </c>
    </row>
    <row r="24" spans="1:12" x14ac:dyDescent="0.3">
      <c r="A24" t="s">
        <v>19</v>
      </c>
      <c r="B24" s="3">
        <v>572087</v>
      </c>
      <c r="C24" s="3">
        <v>3</v>
      </c>
      <c r="D24" s="2"/>
      <c r="E24" s="2"/>
      <c r="F24" s="2"/>
      <c r="G24" s="2"/>
      <c r="H24" s="2"/>
      <c r="I24" s="2">
        <v>3</v>
      </c>
      <c r="J24" s="2"/>
      <c r="K24" s="2"/>
      <c r="L24" s="15">
        <f t="shared" si="2"/>
        <v>3</v>
      </c>
    </row>
    <row r="25" spans="1:12" x14ac:dyDescent="0.3">
      <c r="A25" t="s">
        <v>81</v>
      </c>
      <c r="B25" s="3">
        <v>1338170</v>
      </c>
      <c r="C25" s="3">
        <v>5</v>
      </c>
      <c r="D25" s="2"/>
      <c r="E25" s="2"/>
      <c r="F25" s="2"/>
      <c r="G25" s="2"/>
      <c r="H25" s="2"/>
      <c r="I25" s="2"/>
      <c r="J25" s="2">
        <v>5</v>
      </c>
      <c r="K25" s="2"/>
      <c r="L25" s="15">
        <f t="shared" si="2"/>
        <v>5</v>
      </c>
    </row>
    <row r="26" spans="1:12" x14ac:dyDescent="0.3">
      <c r="A26" t="s">
        <v>20</v>
      </c>
      <c r="B26" s="3">
        <v>1453676</v>
      </c>
      <c r="C26" s="3">
        <v>6</v>
      </c>
      <c r="D26" s="2"/>
      <c r="E26" s="2"/>
      <c r="F26" s="2"/>
      <c r="G26" s="2">
        <v>3</v>
      </c>
      <c r="H26" s="2"/>
      <c r="I26" s="2"/>
      <c r="J26" s="2"/>
      <c r="K26" s="2">
        <v>3</v>
      </c>
      <c r="L26" s="15">
        <f t="shared" si="2"/>
        <v>6</v>
      </c>
    </row>
    <row r="27" spans="1:12" x14ac:dyDescent="0.3">
      <c r="A27" t="s">
        <v>21</v>
      </c>
      <c r="B27" s="3">
        <v>173504</v>
      </c>
      <c r="C27" s="3">
        <v>4</v>
      </c>
      <c r="D27" s="2"/>
      <c r="E27" s="2">
        <v>4</v>
      </c>
      <c r="F27" s="2"/>
      <c r="G27" s="2"/>
      <c r="H27" s="2"/>
      <c r="I27" s="2"/>
      <c r="J27" s="2"/>
      <c r="K27" s="2"/>
      <c r="L27" s="15">
        <f t="shared" si="2"/>
        <v>4</v>
      </c>
    </row>
    <row r="28" spans="1:12" x14ac:dyDescent="0.3">
      <c r="A28" t="s">
        <v>22</v>
      </c>
      <c r="B28" s="3">
        <v>572087</v>
      </c>
      <c r="C28" s="3">
        <v>3</v>
      </c>
      <c r="D28" s="2"/>
      <c r="E28" s="2"/>
      <c r="F28" s="2"/>
      <c r="G28" s="2"/>
      <c r="H28" s="2">
        <v>3</v>
      </c>
      <c r="I28" s="2"/>
      <c r="J28" s="2"/>
      <c r="K28" s="2"/>
      <c r="L28" s="15">
        <f t="shared" si="2"/>
        <v>3</v>
      </c>
    </row>
    <row r="29" spans="1:12" x14ac:dyDescent="0.3">
      <c r="A29" t="s">
        <v>23</v>
      </c>
      <c r="B29" s="3">
        <v>449546</v>
      </c>
      <c r="C29" s="3">
        <v>12</v>
      </c>
      <c r="D29" s="2"/>
      <c r="E29" s="2"/>
      <c r="F29" s="2">
        <v>5</v>
      </c>
      <c r="G29" s="2"/>
      <c r="H29" s="2">
        <v>4</v>
      </c>
      <c r="I29" s="2"/>
      <c r="J29" s="2">
        <v>3</v>
      </c>
      <c r="K29" s="2"/>
      <c r="L29" s="15">
        <f>SUM(E29:K29)</f>
        <v>12</v>
      </c>
    </row>
    <row r="30" spans="1:12" x14ac:dyDescent="0.3">
      <c r="A30" t="s">
        <v>24</v>
      </c>
      <c r="B30" s="3">
        <v>133884</v>
      </c>
      <c r="C30" s="3">
        <v>7</v>
      </c>
      <c r="D30" s="2"/>
      <c r="E30" s="2">
        <v>4</v>
      </c>
      <c r="F30" s="2"/>
      <c r="G30" s="2"/>
      <c r="H30" s="2">
        <v>3</v>
      </c>
      <c r="I30" s="2"/>
      <c r="J30" s="2"/>
      <c r="K30" s="2"/>
      <c r="L30" s="15">
        <f t="shared" si="2"/>
        <v>7</v>
      </c>
    </row>
    <row r="31" spans="1:12" x14ac:dyDescent="0.3">
      <c r="A31" s="7" t="s">
        <v>83</v>
      </c>
      <c r="B31" s="8">
        <v>165653</v>
      </c>
      <c r="C31" s="8">
        <v>7</v>
      </c>
      <c r="D31" s="2">
        <v>8</v>
      </c>
      <c r="E31" s="2">
        <v>4</v>
      </c>
      <c r="F31" s="2"/>
      <c r="G31" s="2"/>
      <c r="H31" s="2"/>
      <c r="I31" s="2">
        <v>4</v>
      </c>
      <c r="J31" s="2"/>
      <c r="K31" s="2"/>
      <c r="L31" s="15">
        <f t="shared" si="2"/>
        <v>8</v>
      </c>
    </row>
    <row r="32" spans="1:12" x14ac:dyDescent="0.3">
      <c r="A32" s="7" t="s">
        <v>25</v>
      </c>
      <c r="B32" s="8">
        <v>165653</v>
      </c>
      <c r="C32" s="8">
        <v>1</v>
      </c>
      <c r="D32" s="2"/>
      <c r="E32" s="2"/>
      <c r="F32" s="2"/>
      <c r="G32" s="2"/>
      <c r="H32" s="2"/>
      <c r="I32" s="2"/>
      <c r="J32" s="2"/>
      <c r="K32" s="2"/>
      <c r="L32" s="15">
        <f t="shared" si="2"/>
        <v>0</v>
      </c>
    </row>
    <row r="33" spans="1:12" x14ac:dyDescent="0.3">
      <c r="A33" t="s">
        <v>26</v>
      </c>
      <c r="B33" s="3">
        <v>173504</v>
      </c>
      <c r="C33" s="3">
        <v>16</v>
      </c>
      <c r="D33" s="2"/>
      <c r="E33" s="2">
        <v>4</v>
      </c>
      <c r="F33" s="2"/>
      <c r="G33" s="2">
        <v>5</v>
      </c>
      <c r="H33" s="2">
        <v>4</v>
      </c>
      <c r="I33" s="2"/>
      <c r="J33" s="2"/>
      <c r="K33" s="2">
        <v>3</v>
      </c>
      <c r="L33" s="15">
        <f t="shared" si="2"/>
        <v>16</v>
      </c>
    </row>
    <row r="34" spans="1:12" x14ac:dyDescent="0.3">
      <c r="A34" s="9" t="s">
        <v>27</v>
      </c>
      <c r="B34" s="10">
        <v>1014784</v>
      </c>
      <c r="C34" s="10">
        <v>9</v>
      </c>
      <c r="D34" s="2">
        <v>11</v>
      </c>
      <c r="E34" s="2"/>
      <c r="F34" s="2"/>
      <c r="G34" s="2">
        <v>4</v>
      </c>
      <c r="H34" s="2">
        <v>4</v>
      </c>
      <c r="I34" s="2"/>
      <c r="J34" s="2"/>
      <c r="K34" s="2">
        <v>3</v>
      </c>
      <c r="L34" s="15">
        <f t="shared" si="2"/>
        <v>11</v>
      </c>
    </row>
    <row r="35" spans="1:12" x14ac:dyDescent="0.3">
      <c r="A35" t="s">
        <v>28</v>
      </c>
      <c r="B35" s="3">
        <v>1453676</v>
      </c>
      <c r="C35" s="3">
        <v>4</v>
      </c>
      <c r="D35" s="2"/>
      <c r="E35" s="2"/>
      <c r="F35" s="2"/>
      <c r="G35" s="2"/>
      <c r="H35" s="2"/>
      <c r="I35" s="2">
        <v>4</v>
      </c>
      <c r="J35" s="2"/>
      <c r="K35" s="2"/>
      <c r="L35" s="15">
        <f t="shared" si="2"/>
        <v>4</v>
      </c>
    </row>
    <row r="36" spans="1:12" x14ac:dyDescent="0.3">
      <c r="A36" t="s">
        <v>29</v>
      </c>
      <c r="B36" s="3">
        <v>1453676</v>
      </c>
      <c r="C36" s="3">
        <v>5</v>
      </c>
      <c r="D36" s="2"/>
      <c r="E36" s="2"/>
      <c r="F36" s="2">
        <v>5</v>
      </c>
      <c r="G36" s="2"/>
      <c r="H36" s="2"/>
      <c r="I36" s="2"/>
      <c r="J36" s="2"/>
      <c r="K36" s="2"/>
      <c r="L36" s="15">
        <f t="shared" si="2"/>
        <v>5</v>
      </c>
    </row>
    <row r="37" spans="1:12" x14ac:dyDescent="0.3">
      <c r="A37" t="s">
        <v>30</v>
      </c>
      <c r="B37" s="3">
        <v>1453676</v>
      </c>
      <c r="C37" s="3">
        <v>14</v>
      </c>
      <c r="D37" s="2"/>
      <c r="E37" s="2"/>
      <c r="F37" s="2">
        <v>6</v>
      </c>
      <c r="G37" s="2"/>
      <c r="H37" s="2">
        <v>4</v>
      </c>
      <c r="I37" s="2">
        <v>4</v>
      </c>
      <c r="J37" s="2"/>
      <c r="K37" s="2"/>
      <c r="L37" s="15">
        <f t="shared" si="2"/>
        <v>14</v>
      </c>
    </row>
    <row r="38" spans="1:12" x14ac:dyDescent="0.3">
      <c r="A38" t="s">
        <v>31</v>
      </c>
      <c r="B38" s="3">
        <v>362428</v>
      </c>
      <c r="C38" s="3">
        <v>11</v>
      </c>
      <c r="D38" s="2"/>
      <c r="E38" s="2"/>
      <c r="F38" s="2"/>
      <c r="G38" s="2">
        <v>6</v>
      </c>
      <c r="H38" s="2"/>
      <c r="I38" s="2"/>
      <c r="J38" s="2">
        <v>5</v>
      </c>
      <c r="K38" s="2"/>
      <c r="L38" s="15">
        <f t="shared" si="2"/>
        <v>11</v>
      </c>
    </row>
    <row r="39" spans="1:12" x14ac:dyDescent="0.3">
      <c r="A39" s="4" t="s">
        <v>32</v>
      </c>
      <c r="B39" s="5">
        <v>183050</v>
      </c>
      <c r="C39" s="5">
        <v>0</v>
      </c>
      <c r="D39" s="16"/>
      <c r="E39" s="16"/>
      <c r="F39" s="16"/>
      <c r="G39" s="16"/>
      <c r="H39" s="16"/>
      <c r="I39" s="16"/>
      <c r="J39" s="16"/>
      <c r="K39" s="16"/>
      <c r="L39" s="16">
        <f t="shared" si="2"/>
        <v>0</v>
      </c>
    </row>
    <row r="40" spans="1:12" x14ac:dyDescent="0.3">
      <c r="A40" t="s">
        <v>87</v>
      </c>
      <c r="B40" s="3">
        <v>1324296</v>
      </c>
      <c r="C40" s="3">
        <v>4</v>
      </c>
      <c r="D40" s="2"/>
      <c r="E40" s="2"/>
      <c r="F40" s="2"/>
      <c r="G40" s="2">
        <v>4</v>
      </c>
      <c r="H40" s="2"/>
      <c r="I40" s="2"/>
      <c r="J40" s="2"/>
      <c r="K40" s="2"/>
      <c r="L40" s="15">
        <f t="shared" si="2"/>
        <v>4</v>
      </c>
    </row>
    <row r="41" spans="1:12" x14ac:dyDescent="0.3">
      <c r="A41" t="s">
        <v>33</v>
      </c>
      <c r="B41" s="3">
        <v>144336</v>
      </c>
      <c r="C41" s="3">
        <v>3</v>
      </c>
      <c r="D41" s="2"/>
      <c r="E41" s="2"/>
      <c r="F41" s="2"/>
      <c r="G41" s="2"/>
      <c r="H41" s="2"/>
      <c r="I41" s="2"/>
      <c r="J41" s="2"/>
      <c r="K41" s="2">
        <v>3</v>
      </c>
      <c r="L41" s="15">
        <f t="shared" si="2"/>
        <v>3</v>
      </c>
    </row>
    <row r="42" spans="1:12" x14ac:dyDescent="0.3">
      <c r="A42" t="s">
        <v>34</v>
      </c>
      <c r="B42" s="3">
        <v>119072</v>
      </c>
      <c r="C42" s="3">
        <v>10</v>
      </c>
      <c r="D42" s="2"/>
      <c r="E42" s="2"/>
      <c r="F42" s="2">
        <v>6</v>
      </c>
      <c r="G42" s="2"/>
      <c r="H42" s="2"/>
      <c r="I42" s="2"/>
      <c r="J42" s="2">
        <v>4</v>
      </c>
      <c r="K42" s="2"/>
      <c r="L42" s="15">
        <f t="shared" si="2"/>
        <v>10</v>
      </c>
    </row>
    <row r="43" spans="1:12" x14ac:dyDescent="0.3">
      <c r="A43" s="4" t="s">
        <v>35</v>
      </c>
      <c r="B43" s="5">
        <v>809033</v>
      </c>
      <c r="C43" s="5">
        <v>0</v>
      </c>
      <c r="D43" s="16"/>
      <c r="E43" s="16"/>
      <c r="F43" s="16"/>
      <c r="G43" s="16"/>
      <c r="H43" s="16"/>
      <c r="I43" s="16"/>
      <c r="J43" s="16"/>
      <c r="K43" s="16"/>
      <c r="L43" s="16">
        <f t="shared" si="2"/>
        <v>0</v>
      </c>
    </row>
    <row r="44" spans="1:12" x14ac:dyDescent="0.3">
      <c r="A44" s="4" t="s">
        <v>36</v>
      </c>
      <c r="B44" s="5">
        <v>809033</v>
      </c>
      <c r="C44" s="5">
        <v>0</v>
      </c>
      <c r="D44" s="16"/>
      <c r="E44" s="16"/>
      <c r="F44" s="16"/>
      <c r="G44" s="16"/>
      <c r="H44" s="16"/>
      <c r="I44" s="16"/>
      <c r="J44" s="16"/>
      <c r="K44" s="16"/>
      <c r="L44" s="16">
        <f t="shared" si="2"/>
        <v>0</v>
      </c>
    </row>
    <row r="45" spans="1:12" x14ac:dyDescent="0.3">
      <c r="A45" t="s">
        <v>37</v>
      </c>
      <c r="B45" s="3">
        <v>186343</v>
      </c>
      <c r="C45" s="3">
        <v>6</v>
      </c>
      <c r="D45" s="2"/>
      <c r="E45" s="2"/>
      <c r="F45" s="2">
        <v>6</v>
      </c>
      <c r="G45" s="2"/>
      <c r="H45" s="2"/>
      <c r="I45" s="2"/>
      <c r="J45" s="2"/>
      <c r="K45" s="2"/>
      <c r="L45" s="15">
        <f t="shared" si="2"/>
        <v>6</v>
      </c>
    </row>
    <row r="46" spans="1:12" x14ac:dyDescent="0.3">
      <c r="A46" t="s">
        <v>38</v>
      </c>
      <c r="B46" s="3">
        <v>186343</v>
      </c>
      <c r="C46" s="3">
        <v>6</v>
      </c>
      <c r="D46" s="2"/>
      <c r="E46" s="2"/>
      <c r="F46" s="2"/>
      <c r="G46" s="2">
        <v>3</v>
      </c>
      <c r="H46" s="2">
        <v>3</v>
      </c>
      <c r="I46" s="2"/>
      <c r="J46" s="2"/>
      <c r="K46" s="2"/>
      <c r="L46" s="15">
        <f t="shared" si="2"/>
        <v>6</v>
      </c>
    </row>
    <row r="47" spans="1:12" x14ac:dyDescent="0.3">
      <c r="A47" s="4" t="s">
        <v>39</v>
      </c>
      <c r="B47" s="5">
        <v>1055636</v>
      </c>
      <c r="C47" s="5">
        <v>0</v>
      </c>
      <c r="D47" s="16"/>
      <c r="E47" s="16"/>
      <c r="F47" s="16"/>
      <c r="G47" s="16"/>
      <c r="H47" s="16"/>
      <c r="I47" s="16"/>
      <c r="J47" s="16"/>
      <c r="K47" s="16"/>
      <c r="L47" s="16">
        <f t="shared" si="2"/>
        <v>0</v>
      </c>
    </row>
    <row r="48" spans="1:12" x14ac:dyDescent="0.3">
      <c r="A48" t="s">
        <v>40</v>
      </c>
      <c r="B48" s="3">
        <v>147483</v>
      </c>
      <c r="C48" s="3">
        <v>4</v>
      </c>
      <c r="D48" s="2"/>
      <c r="E48" s="2">
        <v>4</v>
      </c>
      <c r="F48" s="2"/>
      <c r="G48" s="2"/>
      <c r="H48" s="2"/>
      <c r="I48" s="2"/>
      <c r="J48" s="2"/>
      <c r="K48" s="2"/>
      <c r="L48" s="15">
        <f t="shared" si="2"/>
        <v>4</v>
      </c>
    </row>
    <row r="49" spans="1:12" x14ac:dyDescent="0.3">
      <c r="A49" t="s">
        <v>41</v>
      </c>
      <c r="B49" s="3">
        <v>53798</v>
      </c>
      <c r="C49" s="3">
        <v>13</v>
      </c>
      <c r="D49" s="2"/>
      <c r="E49" s="2">
        <v>4</v>
      </c>
      <c r="F49" s="2"/>
      <c r="G49" s="2"/>
      <c r="H49" s="2"/>
      <c r="I49" s="2">
        <v>4</v>
      </c>
      <c r="J49" s="2">
        <v>5</v>
      </c>
      <c r="K49" s="2"/>
      <c r="L49" s="15">
        <f>SUM(E49:K49)</f>
        <v>13</v>
      </c>
    </row>
    <row r="50" spans="1:12" x14ac:dyDescent="0.3">
      <c r="A50" s="4" t="s">
        <v>42</v>
      </c>
      <c r="B50" s="5">
        <v>315191</v>
      </c>
      <c r="C50" s="5">
        <v>0</v>
      </c>
      <c r="D50" s="17"/>
      <c r="E50" s="17"/>
      <c r="F50" s="17"/>
      <c r="G50" s="17"/>
      <c r="H50" s="17"/>
      <c r="I50" s="17"/>
      <c r="J50" s="17"/>
      <c r="K50" s="17"/>
      <c r="L50" s="17">
        <f t="shared" si="2"/>
        <v>0</v>
      </c>
    </row>
    <row r="51" spans="1:12" x14ac:dyDescent="0.3">
      <c r="A51" t="s">
        <v>43</v>
      </c>
      <c r="B51" s="3">
        <v>189884</v>
      </c>
      <c r="C51" s="3">
        <v>3</v>
      </c>
      <c r="D51" s="2"/>
      <c r="E51" s="2"/>
      <c r="F51" s="2"/>
      <c r="G51" s="2"/>
      <c r="H51" s="2"/>
      <c r="I51" s="2"/>
      <c r="J51" s="2"/>
      <c r="K51" s="2">
        <v>3</v>
      </c>
      <c r="L51" s="15">
        <f t="shared" si="2"/>
        <v>3</v>
      </c>
    </row>
    <row r="52" spans="1:12" x14ac:dyDescent="0.3">
      <c r="A52" t="s">
        <v>44</v>
      </c>
      <c r="B52" s="3">
        <v>1453676</v>
      </c>
      <c r="C52" s="3">
        <v>4</v>
      </c>
      <c r="D52" s="2"/>
      <c r="E52" s="2">
        <v>4</v>
      </c>
      <c r="F52" s="2"/>
      <c r="G52" s="2"/>
      <c r="H52" s="2"/>
      <c r="I52" s="2"/>
      <c r="J52" s="2"/>
      <c r="K52" s="2"/>
      <c r="L52" s="15">
        <f t="shared" si="2"/>
        <v>4</v>
      </c>
    </row>
    <row r="53" spans="1:12" x14ac:dyDescent="0.3">
      <c r="A53" t="s">
        <v>45</v>
      </c>
      <c r="B53" s="3">
        <v>1453676</v>
      </c>
      <c r="C53" s="3">
        <v>9</v>
      </c>
      <c r="D53" s="2" t="s">
        <v>50</v>
      </c>
      <c r="E53" s="2"/>
      <c r="F53" s="2"/>
      <c r="G53" s="2"/>
      <c r="H53" s="2"/>
      <c r="I53" s="2">
        <v>3</v>
      </c>
      <c r="J53" s="2">
        <v>3</v>
      </c>
      <c r="K53" s="2">
        <v>3</v>
      </c>
      <c r="L53" s="15">
        <f t="shared" si="2"/>
        <v>9</v>
      </c>
    </row>
    <row r="54" spans="1:12" x14ac:dyDescent="0.3">
      <c r="A54" t="s">
        <v>46</v>
      </c>
      <c r="B54" s="3">
        <v>22940</v>
      </c>
      <c r="C54" s="3">
        <v>5</v>
      </c>
      <c r="D54" s="2"/>
      <c r="E54" s="2"/>
      <c r="F54" s="2">
        <v>5</v>
      </c>
      <c r="G54" s="2"/>
      <c r="H54" s="2"/>
      <c r="I54" s="2"/>
      <c r="J54" s="2"/>
      <c r="K54" s="2"/>
      <c r="L54" s="15">
        <f t="shared" si="2"/>
        <v>5</v>
      </c>
    </row>
    <row r="55" spans="1:12" x14ac:dyDescent="0.3">
      <c r="A55" t="s">
        <v>47</v>
      </c>
      <c r="B55" s="3">
        <v>1453676</v>
      </c>
      <c r="C55" s="3">
        <v>4</v>
      </c>
      <c r="D55" s="2"/>
      <c r="E55" s="2">
        <v>4</v>
      </c>
      <c r="F55" s="2"/>
      <c r="G55" s="2"/>
      <c r="H55" s="2"/>
      <c r="I55" s="2"/>
      <c r="J55" s="2"/>
      <c r="K55" s="2"/>
      <c r="L55" s="15">
        <f t="shared" si="2"/>
        <v>4</v>
      </c>
    </row>
    <row r="57" spans="1:12" x14ac:dyDescent="0.3">
      <c r="D57" t="s">
        <v>62</v>
      </c>
      <c r="E57">
        <f>COUNTIFS($A$4:$A$55,"*"&amp;$D57&amp;"*",E$4:E$55,"&gt;0")</f>
        <v>1</v>
      </c>
      <c r="F57">
        <f t="shared" ref="F57:K72" si="3">COUNTIFS($A$4:$A$55,"*"&amp;$D57&amp;"*",F$4:F$55,"&gt;0")</f>
        <v>0</v>
      </c>
      <c r="G57">
        <f t="shared" si="3"/>
        <v>1</v>
      </c>
      <c r="H57">
        <f t="shared" si="3"/>
        <v>0</v>
      </c>
      <c r="I57">
        <f t="shared" si="3"/>
        <v>1</v>
      </c>
      <c r="J57">
        <f t="shared" si="3"/>
        <v>0</v>
      </c>
      <c r="K57">
        <f t="shared" si="3"/>
        <v>1</v>
      </c>
      <c r="L57" s="1">
        <f>SUM(L4:L55)</f>
        <v>307</v>
      </c>
    </row>
    <row r="58" spans="1:12" x14ac:dyDescent="0.3">
      <c r="B58" s="1" t="s">
        <v>49</v>
      </c>
      <c r="C58" s="1">
        <f>SUM(C4:C55)</f>
        <v>307</v>
      </c>
      <c r="D58" t="s">
        <v>63</v>
      </c>
      <c r="E58">
        <f t="shared" ref="E58:K76" si="4">COUNTIFS($A$4:$A$55,"*"&amp;$D58&amp;"*",E$4:E$55,"&gt;0")</f>
        <v>0</v>
      </c>
      <c r="F58">
        <f t="shared" si="3"/>
        <v>1</v>
      </c>
      <c r="G58">
        <f t="shared" si="3"/>
        <v>1</v>
      </c>
      <c r="H58">
        <f t="shared" si="3"/>
        <v>1</v>
      </c>
      <c r="I58">
        <f t="shared" si="3"/>
        <v>1</v>
      </c>
      <c r="J58">
        <f t="shared" si="3"/>
        <v>1</v>
      </c>
      <c r="K58">
        <f t="shared" si="3"/>
        <v>0</v>
      </c>
    </row>
    <row r="59" spans="1:12" x14ac:dyDescent="0.3">
      <c r="D59" t="s">
        <v>64</v>
      </c>
      <c r="E59">
        <f t="shared" si="4"/>
        <v>1</v>
      </c>
      <c r="F59">
        <f t="shared" si="3"/>
        <v>0</v>
      </c>
      <c r="G59">
        <f t="shared" si="3"/>
        <v>1</v>
      </c>
      <c r="H59">
        <f t="shared" si="3"/>
        <v>0</v>
      </c>
      <c r="I59">
        <f t="shared" si="3"/>
        <v>1</v>
      </c>
      <c r="J59">
        <f t="shared" si="3"/>
        <v>1</v>
      </c>
      <c r="K59">
        <f t="shared" si="3"/>
        <v>1</v>
      </c>
    </row>
    <row r="60" spans="1:12" x14ac:dyDescent="0.3">
      <c r="C60">
        <f>COUNTIF(C3:C55,"=3")</f>
        <v>4</v>
      </c>
      <c r="D60" t="s">
        <v>66</v>
      </c>
      <c r="E60">
        <f t="shared" si="4"/>
        <v>0</v>
      </c>
      <c r="F60">
        <f t="shared" si="3"/>
        <v>0</v>
      </c>
      <c r="G60">
        <f t="shared" si="3"/>
        <v>1</v>
      </c>
      <c r="H60">
        <f t="shared" si="3"/>
        <v>0</v>
      </c>
      <c r="I60">
        <f t="shared" si="3"/>
        <v>0</v>
      </c>
      <c r="J60">
        <f t="shared" si="3"/>
        <v>0</v>
      </c>
      <c r="K60">
        <f t="shared" si="3"/>
        <v>1</v>
      </c>
    </row>
    <row r="61" spans="1:12" x14ac:dyDescent="0.3">
      <c r="D61" t="s">
        <v>65</v>
      </c>
      <c r="E61">
        <f t="shared" si="4"/>
        <v>1</v>
      </c>
      <c r="F61">
        <f t="shared" si="3"/>
        <v>0</v>
      </c>
      <c r="G61">
        <f t="shared" si="3"/>
        <v>1</v>
      </c>
      <c r="H61">
        <f t="shared" si="3"/>
        <v>0</v>
      </c>
      <c r="I61">
        <f t="shared" si="3"/>
        <v>1</v>
      </c>
      <c r="J61">
        <f t="shared" si="3"/>
        <v>0</v>
      </c>
      <c r="K61">
        <f t="shared" si="3"/>
        <v>1</v>
      </c>
    </row>
    <row r="62" spans="1:12" x14ac:dyDescent="0.3">
      <c r="C62">
        <f>307/33</f>
        <v>9.3030303030303028</v>
      </c>
      <c r="D62" t="s">
        <v>67</v>
      </c>
      <c r="E62">
        <f t="shared" si="4"/>
        <v>1</v>
      </c>
      <c r="F62">
        <f t="shared" si="3"/>
        <v>1</v>
      </c>
      <c r="G62">
        <f t="shared" si="3"/>
        <v>0</v>
      </c>
      <c r="H62">
        <f t="shared" si="3"/>
        <v>1</v>
      </c>
      <c r="I62">
        <f t="shared" si="3"/>
        <v>1</v>
      </c>
      <c r="J62">
        <f t="shared" si="3"/>
        <v>1</v>
      </c>
      <c r="K62">
        <f t="shared" si="3"/>
        <v>0</v>
      </c>
    </row>
    <row r="63" spans="1:12" x14ac:dyDescent="0.3">
      <c r="D63" t="s">
        <v>82</v>
      </c>
      <c r="E63">
        <f t="shared" si="4"/>
        <v>1</v>
      </c>
      <c r="F63">
        <f t="shared" si="3"/>
        <v>1</v>
      </c>
      <c r="G63">
        <f t="shared" si="3"/>
        <v>1</v>
      </c>
      <c r="H63">
        <f t="shared" si="3"/>
        <v>1</v>
      </c>
      <c r="I63">
        <f t="shared" si="3"/>
        <v>1</v>
      </c>
      <c r="J63">
        <f t="shared" si="3"/>
        <v>1</v>
      </c>
      <c r="K63">
        <f t="shared" si="3"/>
        <v>1</v>
      </c>
    </row>
    <row r="64" spans="1:12" x14ac:dyDescent="0.3">
      <c r="D64" t="s">
        <v>68</v>
      </c>
      <c r="E64">
        <f t="shared" si="4"/>
        <v>2</v>
      </c>
      <c r="F64">
        <f t="shared" si="3"/>
        <v>1</v>
      </c>
      <c r="G64">
        <f t="shared" si="3"/>
        <v>2</v>
      </c>
      <c r="H64">
        <f t="shared" si="3"/>
        <v>2</v>
      </c>
      <c r="I64">
        <f t="shared" si="3"/>
        <v>2</v>
      </c>
      <c r="J64">
        <f t="shared" si="3"/>
        <v>2</v>
      </c>
      <c r="K64">
        <f t="shared" si="3"/>
        <v>2</v>
      </c>
    </row>
    <row r="65" spans="4:11" x14ac:dyDescent="0.3">
      <c r="D65" t="s">
        <v>85</v>
      </c>
      <c r="E65">
        <f t="shared" si="4"/>
        <v>1</v>
      </c>
      <c r="F65">
        <f t="shared" si="3"/>
        <v>1</v>
      </c>
      <c r="G65">
        <f t="shared" si="3"/>
        <v>0</v>
      </c>
      <c r="H65">
        <f t="shared" si="3"/>
        <v>0</v>
      </c>
      <c r="I65">
        <f t="shared" si="3"/>
        <v>0</v>
      </c>
      <c r="J65">
        <f t="shared" si="3"/>
        <v>1</v>
      </c>
      <c r="K65">
        <f t="shared" si="3"/>
        <v>0</v>
      </c>
    </row>
    <row r="66" spans="4:11" x14ac:dyDescent="0.3">
      <c r="D66" t="s">
        <v>69</v>
      </c>
      <c r="E66">
        <f t="shared" si="4"/>
        <v>0</v>
      </c>
      <c r="F66">
        <f t="shared" si="3"/>
        <v>1</v>
      </c>
      <c r="G66">
        <f t="shared" si="3"/>
        <v>0</v>
      </c>
      <c r="H66">
        <f t="shared" si="3"/>
        <v>0</v>
      </c>
      <c r="I66">
        <f t="shared" si="3"/>
        <v>1</v>
      </c>
      <c r="J66">
        <f t="shared" si="3"/>
        <v>0</v>
      </c>
      <c r="K66">
        <f t="shared" si="3"/>
        <v>1</v>
      </c>
    </row>
    <row r="67" spans="4:11" x14ac:dyDescent="0.3">
      <c r="D67" t="s">
        <v>76</v>
      </c>
      <c r="E67">
        <f t="shared" si="4"/>
        <v>0</v>
      </c>
      <c r="F67">
        <f t="shared" si="3"/>
        <v>1</v>
      </c>
      <c r="G67">
        <f t="shared" si="3"/>
        <v>1</v>
      </c>
      <c r="H67">
        <f t="shared" si="3"/>
        <v>1</v>
      </c>
      <c r="I67">
        <f t="shared" si="3"/>
        <v>0</v>
      </c>
      <c r="J67">
        <f t="shared" si="3"/>
        <v>1</v>
      </c>
      <c r="K67">
        <f t="shared" si="3"/>
        <v>0</v>
      </c>
    </row>
    <row r="68" spans="4:11" x14ac:dyDescent="0.3">
      <c r="D68" t="s">
        <v>70</v>
      </c>
      <c r="E68">
        <f t="shared" si="4"/>
        <v>0</v>
      </c>
      <c r="F68">
        <f t="shared" si="3"/>
        <v>0</v>
      </c>
      <c r="G68">
        <f t="shared" si="3"/>
        <v>1</v>
      </c>
      <c r="H68">
        <f t="shared" si="3"/>
        <v>1</v>
      </c>
      <c r="I68">
        <f t="shared" si="3"/>
        <v>1</v>
      </c>
      <c r="J68">
        <f t="shared" si="3"/>
        <v>0</v>
      </c>
      <c r="K68">
        <f t="shared" si="3"/>
        <v>1</v>
      </c>
    </row>
    <row r="69" spans="4:11" x14ac:dyDescent="0.3">
      <c r="D69" t="s">
        <v>71</v>
      </c>
      <c r="E69">
        <f t="shared" si="4"/>
        <v>1</v>
      </c>
      <c r="F69">
        <f t="shared" si="3"/>
        <v>0</v>
      </c>
      <c r="G69">
        <f t="shared" si="3"/>
        <v>1</v>
      </c>
      <c r="H69">
        <f t="shared" si="3"/>
        <v>1</v>
      </c>
      <c r="I69">
        <f t="shared" si="3"/>
        <v>0</v>
      </c>
      <c r="J69">
        <f t="shared" si="3"/>
        <v>0</v>
      </c>
      <c r="K69">
        <f t="shared" si="3"/>
        <v>0</v>
      </c>
    </row>
    <row r="70" spans="4:11" x14ac:dyDescent="0.3">
      <c r="D70" t="s">
        <v>72</v>
      </c>
      <c r="E70">
        <f t="shared" si="4"/>
        <v>0</v>
      </c>
      <c r="F70">
        <f t="shared" si="3"/>
        <v>1</v>
      </c>
      <c r="G70">
        <f t="shared" si="3"/>
        <v>0</v>
      </c>
      <c r="H70">
        <f t="shared" si="3"/>
        <v>1</v>
      </c>
      <c r="I70">
        <f t="shared" si="3"/>
        <v>0</v>
      </c>
      <c r="J70">
        <f t="shared" si="3"/>
        <v>1</v>
      </c>
      <c r="K70">
        <f t="shared" si="3"/>
        <v>0</v>
      </c>
    </row>
    <row r="71" spans="4:11" x14ac:dyDescent="0.3">
      <c r="D71" t="s">
        <v>73</v>
      </c>
      <c r="E71">
        <f t="shared" si="4"/>
        <v>1</v>
      </c>
      <c r="F71">
        <f t="shared" si="3"/>
        <v>0</v>
      </c>
      <c r="G71">
        <f t="shared" si="3"/>
        <v>0</v>
      </c>
      <c r="H71">
        <f t="shared" si="3"/>
        <v>0</v>
      </c>
      <c r="I71">
        <f t="shared" si="3"/>
        <v>1</v>
      </c>
      <c r="J71">
        <f t="shared" si="3"/>
        <v>0</v>
      </c>
      <c r="K71">
        <f t="shared" si="3"/>
        <v>0</v>
      </c>
    </row>
    <row r="72" spans="4:11" x14ac:dyDescent="0.3">
      <c r="D72" t="s">
        <v>74</v>
      </c>
      <c r="E72">
        <f t="shared" si="4"/>
        <v>0</v>
      </c>
      <c r="F72">
        <f t="shared" si="3"/>
        <v>1</v>
      </c>
      <c r="G72">
        <f t="shared" si="3"/>
        <v>1</v>
      </c>
      <c r="H72">
        <f t="shared" si="3"/>
        <v>1</v>
      </c>
      <c r="I72">
        <f t="shared" si="3"/>
        <v>1</v>
      </c>
      <c r="J72">
        <f t="shared" si="3"/>
        <v>0</v>
      </c>
      <c r="K72">
        <f t="shared" si="3"/>
        <v>1</v>
      </c>
    </row>
    <row r="73" spans="4:11" x14ac:dyDescent="0.3">
      <c r="D73" t="s">
        <v>75</v>
      </c>
      <c r="E73">
        <f t="shared" si="4"/>
        <v>0</v>
      </c>
      <c r="F73">
        <f t="shared" si="4"/>
        <v>0</v>
      </c>
      <c r="G73">
        <f t="shared" si="4"/>
        <v>1</v>
      </c>
      <c r="H73">
        <f t="shared" si="4"/>
        <v>0</v>
      </c>
      <c r="I73">
        <f t="shared" si="4"/>
        <v>0</v>
      </c>
      <c r="J73">
        <f t="shared" si="4"/>
        <v>1</v>
      </c>
      <c r="K73">
        <f t="shared" si="4"/>
        <v>0</v>
      </c>
    </row>
    <row r="74" spans="4:11" x14ac:dyDescent="0.3">
      <c r="D74" t="s">
        <v>77</v>
      </c>
      <c r="E74">
        <f t="shared" si="4"/>
        <v>0</v>
      </c>
      <c r="F74">
        <f t="shared" si="4"/>
        <v>0</v>
      </c>
      <c r="G74">
        <f t="shared" si="4"/>
        <v>0</v>
      </c>
      <c r="H74">
        <f t="shared" si="4"/>
        <v>0</v>
      </c>
      <c r="I74">
        <f t="shared" si="4"/>
        <v>1</v>
      </c>
      <c r="J74">
        <f t="shared" si="4"/>
        <v>1</v>
      </c>
      <c r="K74">
        <f t="shared" si="4"/>
        <v>1</v>
      </c>
    </row>
    <row r="75" spans="4:11" x14ac:dyDescent="0.3">
      <c r="D75" t="s">
        <v>80</v>
      </c>
      <c r="E75">
        <f t="shared" si="4"/>
        <v>1</v>
      </c>
      <c r="F75">
        <f t="shared" si="4"/>
        <v>0</v>
      </c>
      <c r="G75">
        <f t="shared" si="4"/>
        <v>0</v>
      </c>
      <c r="H75">
        <f t="shared" si="4"/>
        <v>0</v>
      </c>
      <c r="I75">
        <f t="shared" si="4"/>
        <v>1</v>
      </c>
      <c r="J75">
        <f t="shared" si="4"/>
        <v>1</v>
      </c>
      <c r="K75">
        <f t="shared" si="4"/>
        <v>0</v>
      </c>
    </row>
    <row r="76" spans="4:11" x14ac:dyDescent="0.3">
      <c r="D76" t="s">
        <v>88</v>
      </c>
      <c r="E76">
        <f t="shared" si="4"/>
        <v>0</v>
      </c>
      <c r="F76">
        <f t="shared" si="4"/>
        <v>1</v>
      </c>
      <c r="G76">
        <f t="shared" si="4"/>
        <v>0</v>
      </c>
      <c r="H76">
        <f t="shared" si="4"/>
        <v>1</v>
      </c>
      <c r="I76">
        <f>COUNTIFS($A$4:$A$55,"*"&amp;$D76&amp;"*",I$4:I$55,"&gt;0")</f>
        <v>1</v>
      </c>
      <c r="J76">
        <f t="shared" si="4"/>
        <v>0</v>
      </c>
      <c r="K76">
        <f t="shared" si="4"/>
        <v>0</v>
      </c>
    </row>
  </sheetData>
  <mergeCells count="3">
    <mergeCell ref="E1:G1"/>
    <mergeCell ref="I1:K1"/>
    <mergeCell ref="B3:C3"/>
  </mergeCells>
  <pageMargins left="0.78740157499999996" right="0.78740157499999996" top="0.984251969" bottom="0.984251969" header="0.4921259845" footer="0.492125984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sessionsDédiées_new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Sami Cherif</cp:lastModifiedBy>
  <dcterms:created xsi:type="dcterms:W3CDTF">2024-01-26T14:28:08Z</dcterms:created>
  <dcterms:modified xsi:type="dcterms:W3CDTF">2024-01-30T12:47:22Z</dcterms:modified>
</cp:coreProperties>
</file>